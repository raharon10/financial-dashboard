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B34ED64-D3D1-4E72-B314-8E97293E9910}" xr6:coauthVersionLast="47" xr6:coauthVersionMax="47" xr10:uidLastSave="{00000000-0000-0000-0000-000000000000}"/>
  <bookViews>
    <workbookView xWindow="-110" yWindow="-110" windowWidth="19420" windowHeight="10300" activeTab="2" xr2:uid="{C2A65B48-A057-4FD0-B398-293008C8E422}"/>
  </bookViews>
  <sheets>
    <sheet name="השתתפות מרכז בשוטף" sheetId="1" r:id="rId1"/>
    <sheet name="בינוי " sheetId="2" r:id="rId2"/>
    <sheet name="הלוואת בעלות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tc={E61CE8F2-A567-490A-A4BF-A7D45F4954CA}</author>
  </authors>
  <commentList>
    <comment ref="C26" authorId="0" shapeId="0" xr:uid="{E61CE8F2-A567-490A-A4BF-A7D45F4954CA}">
      <text>
        <r>
          <rPr>
            <sz val="11"/>
            <color theme="1"/>
            <rFont val="Arial"/>
            <family val="2"/>
            <charset val="177"/>
            <scheme val="minor"/>
          </rPr>
  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50,000 עבור רובוטיקה</t>
        </r>
      </text>
    </comment>
  </commentList>
</comments>
</file>

<file path=xl/sharedStrings.xml><?xml version="1.0" encoding="utf-8"?>
<sst xmlns="http://schemas.openxmlformats.org/spreadsheetml/2006/main" count="166" uniqueCount="66">
  <si>
    <t>שם מוסד</t>
  </si>
  <si>
    <t>הערות</t>
  </si>
  <si>
    <t>אב"ע חן במדבר</t>
  </si>
  <si>
    <t>המרכז משתתף ב-90,000 ₪ בכסף + 90,000 בתוכניות, התוכניות בשיח מול הרשות</t>
  </si>
  <si>
    <t xml:space="preserve">אב"ע טל רמות </t>
  </si>
  <si>
    <t>אב"ע לכיש</t>
  </si>
  <si>
    <t>אב"ע מודיעין</t>
  </si>
  <si>
    <t xml:space="preserve">יב"ע מירון </t>
  </si>
  <si>
    <t>אב"ע מרכז שפירא</t>
  </si>
  <si>
    <t>אב"ע ראש צורים</t>
  </si>
  <si>
    <t>אב"ע שילה</t>
  </si>
  <si>
    <t>אב"ע שירת הים</t>
  </si>
  <si>
    <t>אב"ע תל אביב</t>
  </si>
  <si>
    <t>יב"ע גבעת שמואל</t>
  </si>
  <si>
    <t>יב"ע חולון</t>
  </si>
  <si>
    <t>יב"ע עלי</t>
  </si>
  <si>
    <t>יב"ע שדה יעקב</t>
  </si>
  <si>
    <t>יב"ע נווה הרצוג</t>
  </si>
  <si>
    <t>יב"ע בני ברק</t>
  </si>
  <si>
    <t>יב"ע מודיעין</t>
  </si>
  <si>
    <t>יב"ע אביר יעקב</t>
  </si>
  <si>
    <t>יב"ע אדרת בת ים</t>
  </si>
  <si>
    <t>סוג פרוייקט</t>
  </si>
  <si>
    <t>סה"כ עלות פרוייקט</t>
  </si>
  <si>
    <t>תוספת שני יבילים שישמשו ככיתות</t>
  </si>
  <si>
    <t>ניהול הפרוייקט והצבת היבילים באחריות המוסד והרשת</t>
  </si>
  <si>
    <t>יב"ע ראשל"צ</t>
  </si>
  <si>
    <t>תוספת יבילים 100 מ"ר</t>
  </si>
  <si>
    <t>ניהול הפרוייקט והצבת היבילים באחריות הרשות</t>
  </si>
  <si>
    <t>הסדרת בית מדרש ומועדון לטובת המסלול החדש</t>
  </si>
  <si>
    <t>בימים הקרובים תיסגר התוכנית הסופית ונדע עלויות מדויקות</t>
  </si>
  <si>
    <t>הצבת שני יבילים</t>
  </si>
  <si>
    <t>סה"כ השתתפות רשת ראשונית בבינוי</t>
  </si>
  <si>
    <t>סה"כ השתתפות רשת בבינוי נכון ל1.5.25</t>
  </si>
  <si>
    <t>יש לקיים שיח עם המוסד שבשנה"ל תשפ"ו יהיה 50,000 בכסף + 50,000 בתוכניות חינוכיות [לבדוק הסכם]</t>
  </si>
  <si>
    <t>עבור שיפוץ במיגנג מול המועצה</t>
  </si>
  <si>
    <t>תשפ"ה</t>
  </si>
  <si>
    <t>אב"ע סגולה</t>
  </si>
  <si>
    <t>בניית אודיטריום</t>
  </si>
  <si>
    <t>אב"ע צפירה</t>
  </si>
  <si>
    <t>סכום הלוואה שנתי</t>
  </si>
  <si>
    <t>סוג הלוואה</t>
  </si>
  <si>
    <t>תשפ"ו</t>
  </si>
  <si>
    <t>יב"ע הדרום</t>
  </si>
  <si>
    <t>אב"ע  קרנ"ש</t>
  </si>
  <si>
    <t>גרעון תשפ"ה מה דינו?</t>
  </si>
  <si>
    <t>בינוי פנימייה</t>
  </si>
  <si>
    <t>החזר ב-10 שנים</t>
  </si>
  <si>
    <t>קיזוז דמי ניהול</t>
  </si>
  <si>
    <t>צריך לקיים דיון לגבי דרך חיים</t>
  </si>
  <si>
    <t>תשפ"ד</t>
  </si>
  <si>
    <t>יב"ע רעננה</t>
  </si>
  <si>
    <t>קיים גרעון שלא אושר מראש בתשפ"ה , לפי הנתונים קיים צורך באישור גרעון גם בתשפ"ו</t>
  </si>
  <si>
    <t>הלוואה מותנת- הציפיה 1 מליון יוחזר בתשפ"ו, השאר בתשפ"ז</t>
  </si>
  <si>
    <t>אב"ע אמנה</t>
  </si>
  <si>
    <t>בינוי</t>
  </si>
  <si>
    <t>חצי מיליון לשנה</t>
  </si>
  <si>
    <t>.</t>
  </si>
  <si>
    <t xml:space="preserve">בינוי </t>
  </si>
  <si>
    <t>השתתפות ע"פ הסכם</t>
  </si>
  <si>
    <t>השתתפות סופית</t>
  </si>
  <si>
    <t>השתתפות מאושרת</t>
  </si>
  <si>
    <t>שנה</t>
  </si>
  <si>
    <t>החזר</t>
  </si>
  <si>
    <t>קיזוז דמי ניהול ל4% על פי הסכם</t>
  </si>
  <si>
    <t>קיזוז דמי ניהול ל3% על פי הסכם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</si>
</sst>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David"/>
      <family val="2"/>
      <charset val="177"/>
    </font>
    <font>
      <b/>
      <sz val="11"/>
      <color theme="1"/>
      <name val="David"/>
      <family val="2"/>
    </font>
    <font>
      <sz val="11"/>
      <color theme="1"/>
      <name val="David"/>
      <family val="2"/>
    </font>
    <font>
      <sz val="11"/>
      <color theme="1"/>
      <name val="Arial"/>
      <family val="2"/>
      <charset val="177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2" fillId="0" borderId="1" xfId="0" applyFont="1" applyBorder="1"/>
    <xf numFmtId="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/>
    <xf numFmtId="164" fontId="3" fillId="0" borderId="1" xfId="1" applyNumberFormat="1" applyFont="1" applyBorder="1"/>
    <xf numFmtId="0" fontId="2" fillId="2" borderId="1" xfId="0" applyFont="1" applyFill="1" applyBorder="1" applyAlignment="1">
      <alignment wrapText="1"/>
    </xf>
    <xf numFmtId="164" fontId="0" fillId="0" borderId="1" xfId="1" applyNumberFormat="1" applyFont="1" applyBorder="1"/>
    <xf numFmtId="0" fontId="2" fillId="0" borderId="0" xfId="0" applyFont="1"/>
    <xf numFmtId="164" fontId="3" fillId="3" borderId="0" xfId="1" applyNumberFormat="1" applyFont="1" applyFill="1"/>
    <xf numFmtId="0" fontId="3" fillId="3" borderId="0" xfId="0" applyFont="1" applyFill="1"/>
    <xf numFmtId="164" fontId="3" fillId="0" borderId="0" xfId="1" applyNumberFormat="1" applyFont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/>
    <xf numFmtId="164" fontId="3" fillId="0" borderId="1" xfId="1" applyNumberFormat="1" applyFont="1" applyFill="1" applyBorder="1" applyAlignment="1"/>
    <xf numFmtId="164" fontId="3" fillId="0" borderId="1" xfId="1" applyNumberFormat="1" applyFont="1" applyBorder="1" applyAlignment="1"/>
    <xf numFmtId="164" fontId="3" fillId="0" borderId="0" xfId="1" applyNumberFormat="1" applyFont="1" applyAlignment="1"/>
    <xf numFmtId="164" fontId="3" fillId="3" borderId="1" xfId="1" applyNumberFormat="1" applyFont="1" applyFill="1" applyBorder="1"/>
    <xf numFmtId="0" fontId="3" fillId="3" borderId="1" xfId="0" applyFont="1" applyFill="1" applyBorder="1"/>
    <xf numFmtId="0" fontId="2" fillId="4" borderId="0" xfId="0" applyFont="1" applyFill="1"/>
    <xf numFmtId="0" fontId="2" fillId="5" borderId="1" xfId="0" applyFont="1" applyFill="1" applyBorder="1"/>
    <xf numFmtId="0" fontId="2" fillId="6" borderId="0" xfId="0" applyFont="1" applyFill="1"/>
    <xf numFmtId="0" fontId="3" fillId="3" borderId="2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7" borderId="1" xfId="0" applyFont="1" applyFill="1" applyBorder="1"/>
    <xf numFmtId="3" fontId="3" fillId="7" borderId="1" xfId="0" applyNumberFormat="1" applyFont="1" applyFill="1" applyBorder="1"/>
    <xf numFmtId="0" fontId="2" fillId="8" borderId="1" xfId="0" applyFont="1" applyFill="1" applyBorder="1"/>
    <xf numFmtId="0" fontId="3" fillId="8" borderId="2" xfId="0" applyFont="1" applyFill="1" applyBorder="1"/>
    <xf numFmtId="164" fontId="3" fillId="8" borderId="1" xfId="1" applyNumberFormat="1" applyFont="1" applyFill="1" applyBorder="1"/>
    <xf numFmtId="164" fontId="3" fillId="8" borderId="1" xfId="1" applyNumberFormat="1" applyFont="1" applyFill="1" applyBorder="1" applyAlignment="1"/>
    <xf numFmtId="0" fontId="3" fillId="8" borderId="1" xfId="0" applyFont="1" applyFill="1" applyBorder="1"/>
    <xf numFmtId="0" fontId="3" fillId="8" borderId="0" xfId="0" applyFont="1" applyFill="1"/>
    <xf numFmtId="0" fontId="3" fillId="7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רותם חניא" id="{177FB8C0-0108-441B-AE93-584C29803E7D}" userId="S::rotem@yba.org.il::02e5805a-32b1-41ef-bad5-3282da31ee0a" providerId="AD"/>
</personList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04-27T17:55:00.88" personId="{177FB8C0-0108-441B-AE93-584C29803E7D}" id="{E61CE8F2-A567-490A-A4BF-A7D45F4954CA}">
    <text>50,000 עבור רובוטיקה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A15D-14F3-4AB0-AE13-652E3BEC00D8}">
  <sheetPr>
    <pageSetUpPr fitToPage="1"/>
  </sheetPr>
  <dimension ref="A1:F48"/>
  <sheetViews>
    <sheetView rightToLeft="1" zoomScaleNormal="100" workbookViewId="0">
      <pane xSplit="2" ySplit="1" topLeftCell="C32" activePane="bottomRight" state="frozen"/>
      <selection pane="topRight" activeCell="B1" sqref="B1"/>
      <selection pane="bottomLeft" activeCell="A2" sqref="A2"/>
      <selection pane="bottomRight" activeCell="C49" sqref="C49"/>
    </sheetView>
  </sheetViews>
  <sheetFormatPr defaultRowHeight="14" x14ac:dyDescent="0.3"/>
  <cols>
    <col min="2" max="2" width="13.08203125" customWidth="1"/>
    <col min="3" max="3" width="15.4140625" bestFit="1" customWidth="1"/>
    <col min="4" max="4" width="14" bestFit="1" customWidth="1"/>
    <col min="5" max="5" width="12.33203125" bestFit="1" customWidth="1"/>
    <col min="6" max="6" width="52.5" style="1" bestFit="1" customWidth="1"/>
  </cols>
  <sheetData>
    <row r="1" spans="1:6" x14ac:dyDescent="0.3">
      <c r="B1" s="8" t="s">
        <v>0</v>
      </c>
      <c r="C1" s="7" t="s">
        <v>59</v>
      </c>
      <c r="D1" s="7" t="s">
        <v>61</v>
      </c>
      <c r="E1" s="7" t="s">
        <v>60</v>
      </c>
      <c r="F1" s="10" t="s">
        <v>1</v>
      </c>
    </row>
    <row r="2" spans="1:6" ht="28" x14ac:dyDescent="0.3">
      <c r="A2" t="s">
        <v>50</v>
      </c>
      <c r="B2" s="33" t="s">
        <v>2</v>
      </c>
      <c r="C2" s="3">
        <v>90000</v>
      </c>
      <c r="D2" s="4"/>
      <c r="E2" s="4"/>
      <c r="F2" s="5" t="s">
        <v>3</v>
      </c>
    </row>
    <row r="3" spans="1:6" x14ac:dyDescent="0.3">
      <c r="A3" t="s">
        <v>50</v>
      </c>
      <c r="B3" s="33" t="s">
        <v>4</v>
      </c>
      <c r="C3" s="4"/>
      <c r="D3" s="3">
        <v>1550000</v>
      </c>
      <c r="E3" s="3">
        <v>72990</v>
      </c>
      <c r="F3" s="5"/>
    </row>
    <row r="4" spans="1:6" x14ac:dyDescent="0.3">
      <c r="A4" t="s">
        <v>50</v>
      </c>
      <c r="B4" s="33" t="s">
        <v>6</v>
      </c>
      <c r="C4" s="3">
        <v>265000</v>
      </c>
      <c r="D4" s="4"/>
      <c r="E4" s="4"/>
    </row>
    <row r="5" spans="1:6" s="1" customFormat="1" x14ac:dyDescent="0.3">
      <c r="A5" t="s">
        <v>50</v>
      </c>
      <c r="B5" s="2" t="s">
        <v>8</v>
      </c>
      <c r="C5" s="3">
        <v>100000</v>
      </c>
      <c r="D5" s="4"/>
      <c r="E5" s="4"/>
      <c r="F5" s="4"/>
    </row>
    <row r="6" spans="1:6" s="1" customFormat="1" x14ac:dyDescent="0.3">
      <c r="A6" t="s">
        <v>50</v>
      </c>
      <c r="B6" s="2" t="s">
        <v>9</v>
      </c>
      <c r="C6" s="4"/>
      <c r="D6" s="3">
        <v>450000</v>
      </c>
      <c r="E6" s="3">
        <v>280000</v>
      </c>
      <c r="F6" s="4"/>
    </row>
    <row r="7" spans="1:6" s="1" customFormat="1" x14ac:dyDescent="0.3">
      <c r="A7" t="s">
        <v>50</v>
      </c>
      <c r="B7" s="2" t="s">
        <v>10</v>
      </c>
      <c r="C7" s="3">
        <v>100000</v>
      </c>
      <c r="D7" s="3">
        <v>200000</v>
      </c>
      <c r="E7" s="4"/>
      <c r="F7" s="4"/>
    </row>
    <row r="8" spans="1:6" s="1" customFormat="1" x14ac:dyDescent="0.3">
      <c r="A8" t="s">
        <v>50</v>
      </c>
      <c r="B8" s="2" t="s">
        <v>11</v>
      </c>
      <c r="C8" s="4"/>
      <c r="D8" s="3">
        <v>550000</v>
      </c>
      <c r="E8" s="3">
        <v>550000</v>
      </c>
      <c r="F8" s="4"/>
    </row>
    <row r="9" spans="1:6" s="1" customFormat="1" x14ac:dyDescent="0.3">
      <c r="A9" t="s">
        <v>50</v>
      </c>
      <c r="B9" s="2" t="s">
        <v>12</v>
      </c>
      <c r="C9" s="4"/>
      <c r="D9" s="3">
        <v>800000</v>
      </c>
      <c r="E9" s="3">
        <v>564545</v>
      </c>
      <c r="F9" s="4"/>
    </row>
    <row r="10" spans="1:6" s="1" customFormat="1" x14ac:dyDescent="0.3">
      <c r="A10" t="s">
        <v>50</v>
      </c>
      <c r="B10" s="2" t="s">
        <v>19</v>
      </c>
      <c r="C10" s="3">
        <v>105000</v>
      </c>
      <c r="D10" s="3"/>
      <c r="E10" s="3"/>
    </row>
    <row r="11" spans="1:6" s="1" customFormat="1" x14ac:dyDescent="0.3">
      <c r="A11" t="s">
        <v>50</v>
      </c>
      <c r="B11" s="2" t="s">
        <v>13</v>
      </c>
      <c r="C11" s="3">
        <v>200000</v>
      </c>
      <c r="D11" s="4"/>
      <c r="E11" s="4"/>
      <c r="F11" s="4"/>
    </row>
    <row r="12" spans="1:6" s="1" customFormat="1" x14ac:dyDescent="0.3">
      <c r="A12" t="s">
        <v>50</v>
      </c>
      <c r="B12" s="2" t="s">
        <v>14</v>
      </c>
      <c r="C12" s="3">
        <v>110000</v>
      </c>
      <c r="D12" s="4"/>
      <c r="E12" s="4"/>
      <c r="F12" s="4"/>
    </row>
    <row r="13" spans="1:6" s="1" customFormat="1" x14ac:dyDescent="0.3">
      <c r="A13" t="s">
        <v>50</v>
      </c>
      <c r="B13" s="2" t="s">
        <v>15</v>
      </c>
      <c r="C13" s="3">
        <v>100000</v>
      </c>
      <c r="D13" s="4"/>
      <c r="E13" s="4"/>
      <c r="F13" s="4"/>
    </row>
    <row r="14" spans="1:6" x14ac:dyDescent="0.3">
      <c r="A14" t="s">
        <v>50</v>
      </c>
      <c r="B14" s="2" t="s">
        <v>17</v>
      </c>
      <c r="C14" s="6"/>
      <c r="D14" s="3">
        <v>500000</v>
      </c>
      <c r="E14" s="9">
        <v>200000</v>
      </c>
      <c r="F14" s="30" t="s">
        <v>49</v>
      </c>
    </row>
    <row r="15" spans="1:6" x14ac:dyDescent="0.3">
      <c r="A15" t="s">
        <v>50</v>
      </c>
      <c r="B15" s="2" t="s">
        <v>21</v>
      </c>
      <c r="C15" s="3">
        <v>126594</v>
      </c>
      <c r="D15" s="6"/>
      <c r="E15" s="6" t="s">
        <v>57</v>
      </c>
      <c r="F15" s="4" t="s">
        <v>65</v>
      </c>
    </row>
    <row r="16" spans="1:6" x14ac:dyDescent="0.3">
      <c r="A16" t="s">
        <v>50</v>
      </c>
      <c r="B16" s="2" t="s">
        <v>20</v>
      </c>
      <c r="C16" s="3">
        <v>25000</v>
      </c>
      <c r="D16" s="6"/>
      <c r="E16" s="6"/>
      <c r="F16" s="4"/>
    </row>
    <row r="17" spans="1:6" x14ac:dyDescent="0.3">
      <c r="A17" t="s">
        <v>36</v>
      </c>
      <c r="B17" s="33" t="s">
        <v>2</v>
      </c>
      <c r="C17" s="9">
        <v>90000</v>
      </c>
      <c r="D17" s="4"/>
      <c r="E17" s="9"/>
    </row>
    <row r="18" spans="1:6" x14ac:dyDescent="0.3">
      <c r="A18" t="s">
        <v>36</v>
      </c>
      <c r="B18" s="33" t="s">
        <v>4</v>
      </c>
      <c r="C18" s="9"/>
      <c r="D18" s="3">
        <v>1000000</v>
      </c>
      <c r="E18" s="9">
        <v>450000</v>
      </c>
    </row>
    <row r="19" spans="1:6" x14ac:dyDescent="0.3">
      <c r="A19" t="s">
        <v>36</v>
      </c>
      <c r="B19" s="33" t="s">
        <v>6</v>
      </c>
      <c r="C19" s="9">
        <v>105000</v>
      </c>
      <c r="D19" s="4"/>
      <c r="E19" s="9"/>
    </row>
    <row r="20" spans="1:6" x14ac:dyDescent="0.3">
      <c r="A20" t="s">
        <v>36</v>
      </c>
      <c r="B20" s="2" t="s">
        <v>7</v>
      </c>
      <c r="C20" s="9"/>
      <c r="D20" s="3">
        <v>700000</v>
      </c>
      <c r="E20" s="9"/>
    </row>
    <row r="21" spans="1:6" x14ac:dyDescent="0.3">
      <c r="A21" t="s">
        <v>36</v>
      </c>
      <c r="B21" s="2" t="s">
        <v>8</v>
      </c>
      <c r="C21" s="9">
        <v>100000</v>
      </c>
      <c r="D21" s="3"/>
      <c r="E21" s="9"/>
    </row>
    <row r="22" spans="1:6" x14ac:dyDescent="0.3">
      <c r="A22" t="s">
        <v>36</v>
      </c>
      <c r="B22" s="2" t="s">
        <v>44</v>
      </c>
      <c r="C22" s="9">
        <v>65336</v>
      </c>
      <c r="D22" s="3"/>
      <c r="E22" s="9"/>
      <c r="F22" s="30" t="s">
        <v>45</v>
      </c>
    </row>
    <row r="23" spans="1:6" x14ac:dyDescent="0.3">
      <c r="A23" t="s">
        <v>36</v>
      </c>
      <c r="B23" s="2" t="s">
        <v>9</v>
      </c>
      <c r="C23" s="9"/>
      <c r="D23" s="3">
        <v>100000</v>
      </c>
      <c r="E23" s="9"/>
    </row>
    <row r="24" spans="1:6" x14ac:dyDescent="0.3">
      <c r="A24" t="s">
        <v>36</v>
      </c>
      <c r="B24" s="2" t="s">
        <v>10</v>
      </c>
      <c r="C24" s="9">
        <v>100000</v>
      </c>
      <c r="D24" s="4"/>
      <c r="E24" s="9"/>
    </row>
    <row r="25" spans="1:6" x14ac:dyDescent="0.3">
      <c r="A25" t="s">
        <v>36</v>
      </c>
      <c r="B25" s="2" t="s">
        <v>12</v>
      </c>
      <c r="C25" s="9"/>
      <c r="D25" s="3">
        <v>800000</v>
      </c>
      <c r="E25" s="9">
        <v>800000</v>
      </c>
    </row>
    <row r="26" spans="1:6" x14ac:dyDescent="0.3">
      <c r="A26" t="s">
        <v>36</v>
      </c>
      <c r="B26" s="2" t="s">
        <v>19</v>
      </c>
      <c r="C26" s="9">
        <v>155000</v>
      </c>
      <c r="D26" s="3"/>
      <c r="E26" s="9"/>
    </row>
    <row r="27" spans="1:6" x14ac:dyDescent="0.3">
      <c r="A27" t="s">
        <v>36</v>
      </c>
      <c r="B27" s="2" t="s">
        <v>13</v>
      </c>
      <c r="C27" s="9">
        <v>230000</v>
      </c>
      <c r="D27" s="4"/>
      <c r="E27" s="9"/>
    </row>
    <row r="28" spans="1:6" x14ac:dyDescent="0.3">
      <c r="A28" t="s">
        <v>36</v>
      </c>
      <c r="B28" s="2" t="s">
        <v>14</v>
      </c>
      <c r="C28" s="9">
        <v>110000</v>
      </c>
      <c r="D28" s="4"/>
      <c r="E28" s="9"/>
    </row>
    <row r="29" spans="1:6" x14ac:dyDescent="0.3">
      <c r="A29" t="s">
        <v>36</v>
      </c>
      <c r="B29" s="2" t="s">
        <v>15</v>
      </c>
      <c r="C29" s="9">
        <v>100000</v>
      </c>
      <c r="D29" s="4"/>
      <c r="E29" s="9"/>
    </row>
    <row r="30" spans="1:6" x14ac:dyDescent="0.3">
      <c r="A30" t="s">
        <v>36</v>
      </c>
      <c r="B30" s="2" t="s">
        <v>17</v>
      </c>
      <c r="C30" s="11"/>
      <c r="D30" s="3">
        <v>600000</v>
      </c>
      <c r="E30" s="9">
        <v>550000</v>
      </c>
    </row>
    <row r="31" spans="1:6" x14ac:dyDescent="0.3">
      <c r="A31" t="s">
        <v>36</v>
      </c>
      <c r="B31" s="2" t="s">
        <v>21</v>
      </c>
      <c r="C31" s="9">
        <v>60000</v>
      </c>
      <c r="D31" s="3"/>
      <c r="E31" s="9"/>
      <c r="F31" s="4" t="s">
        <v>64</v>
      </c>
    </row>
    <row r="32" spans="1:6" x14ac:dyDescent="0.3">
      <c r="A32" t="s">
        <v>36</v>
      </c>
      <c r="B32" s="2" t="s">
        <v>20</v>
      </c>
      <c r="C32" s="9">
        <v>100000</v>
      </c>
      <c r="D32" s="3"/>
      <c r="E32" s="9"/>
    </row>
    <row r="33" spans="1:6" x14ac:dyDescent="0.3">
      <c r="A33" t="s">
        <v>36</v>
      </c>
      <c r="B33" s="36" t="s">
        <v>51</v>
      </c>
      <c r="C33" s="9"/>
      <c r="D33" s="3"/>
      <c r="E33" s="9"/>
      <c r="F33" s="4" t="s">
        <v>52</v>
      </c>
    </row>
    <row r="34" spans="1:6" x14ac:dyDescent="0.3">
      <c r="A34" t="s">
        <v>36</v>
      </c>
      <c r="B34" s="2" t="s">
        <v>18</v>
      </c>
      <c r="C34" s="11"/>
      <c r="D34" s="3">
        <v>300000</v>
      </c>
      <c r="E34" s="9">
        <v>300000</v>
      </c>
    </row>
    <row r="35" spans="1:6" x14ac:dyDescent="0.3">
      <c r="A35" t="s">
        <v>42</v>
      </c>
      <c r="B35" s="33" t="s">
        <v>2</v>
      </c>
      <c r="C35" s="3">
        <v>90000</v>
      </c>
      <c r="D35" s="4"/>
    </row>
    <row r="36" spans="1:6" x14ac:dyDescent="0.3">
      <c r="A36" t="s">
        <v>42</v>
      </c>
      <c r="B36" s="33" t="s">
        <v>4</v>
      </c>
      <c r="C36" s="4"/>
      <c r="D36" s="9">
        <v>1000000</v>
      </c>
    </row>
    <row r="37" spans="1:6" ht="28" x14ac:dyDescent="0.3">
      <c r="A37" t="s">
        <v>42</v>
      </c>
      <c r="B37" s="33" t="s">
        <v>6</v>
      </c>
      <c r="C37" s="3">
        <v>50000</v>
      </c>
      <c r="D37" s="9"/>
      <c r="F37" s="5" t="s">
        <v>34</v>
      </c>
    </row>
    <row r="38" spans="1:6" x14ac:dyDescent="0.3">
      <c r="A38" t="s">
        <v>42</v>
      </c>
      <c r="B38" s="2" t="s">
        <v>8</v>
      </c>
      <c r="C38" s="3">
        <v>100000</v>
      </c>
      <c r="D38" s="9"/>
    </row>
    <row r="39" spans="1:6" x14ac:dyDescent="0.3">
      <c r="A39" t="s">
        <v>42</v>
      </c>
      <c r="B39" s="2" t="s">
        <v>44</v>
      </c>
      <c r="C39" s="37">
        <v>130000</v>
      </c>
      <c r="D39" s="9">
        <v>150000</v>
      </c>
    </row>
    <row r="40" spans="1:6" x14ac:dyDescent="0.3">
      <c r="A40" t="s">
        <v>42</v>
      </c>
      <c r="B40" s="2" t="s">
        <v>10</v>
      </c>
      <c r="C40" s="3">
        <v>100000</v>
      </c>
      <c r="D40" s="9"/>
    </row>
    <row r="41" spans="1:6" x14ac:dyDescent="0.3">
      <c r="A41" t="s">
        <v>42</v>
      </c>
      <c r="B41" s="2" t="s">
        <v>12</v>
      </c>
      <c r="C41" s="4"/>
      <c r="D41" s="9">
        <v>800000</v>
      </c>
    </row>
    <row r="42" spans="1:6" ht="28" x14ac:dyDescent="0.3">
      <c r="A42" t="s">
        <v>42</v>
      </c>
      <c r="B42" s="2" t="s">
        <v>19</v>
      </c>
      <c r="C42" s="3">
        <v>50000</v>
      </c>
      <c r="D42" s="9"/>
      <c r="F42" s="5" t="s">
        <v>34</v>
      </c>
    </row>
    <row r="43" spans="1:6" x14ac:dyDescent="0.3">
      <c r="A43" t="s">
        <v>42</v>
      </c>
      <c r="B43" s="2" t="s">
        <v>13</v>
      </c>
      <c r="C43" s="3">
        <v>200000</v>
      </c>
      <c r="D43" s="9"/>
    </row>
    <row r="44" spans="1:6" x14ac:dyDescent="0.3">
      <c r="A44" t="s">
        <v>42</v>
      </c>
      <c r="B44" s="2" t="s">
        <v>14</v>
      </c>
      <c r="C44" s="3">
        <v>110000</v>
      </c>
      <c r="D44" s="9"/>
    </row>
    <row r="45" spans="1:6" x14ac:dyDescent="0.3">
      <c r="A45" t="s">
        <v>42</v>
      </c>
      <c r="B45" s="2" t="s">
        <v>15</v>
      </c>
      <c r="C45" s="3">
        <v>100000</v>
      </c>
      <c r="D45" s="9"/>
    </row>
    <row r="46" spans="1:6" x14ac:dyDescent="0.3">
      <c r="A46" t="s">
        <v>42</v>
      </c>
      <c r="B46" s="2" t="s">
        <v>21</v>
      </c>
      <c r="C46" s="3">
        <v>40000</v>
      </c>
      <c r="D46" s="11"/>
    </row>
    <row r="47" spans="1:6" x14ac:dyDescent="0.3">
      <c r="A47" t="s">
        <v>42</v>
      </c>
      <c r="B47" s="2" t="s">
        <v>20</v>
      </c>
      <c r="C47" s="3">
        <v>100000</v>
      </c>
      <c r="D47" s="11"/>
    </row>
    <row r="48" spans="1:6" x14ac:dyDescent="0.3">
      <c r="A48" t="s">
        <v>42</v>
      </c>
      <c r="B48" s="36" t="s">
        <v>51</v>
      </c>
      <c r="C48" s="3"/>
      <c r="D48" s="9">
        <v>500000</v>
      </c>
    </row>
  </sheetData>
  <pageMargins left="0.7" right="0.7" top="0.75" bottom="0.75" header="0.3" footer="0.3"/>
  <pageSetup paperSize="9" scale="5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758-0C10-4EDF-A355-4DAF9172951C}">
  <dimension ref="A3:G13"/>
  <sheetViews>
    <sheetView rightToLeft="1" workbookViewId="0">
      <selection activeCell="D13" sqref="D13:F13"/>
    </sheetView>
  </sheetViews>
  <sheetFormatPr defaultColWidth="8.58203125" defaultRowHeight="14" x14ac:dyDescent="0.3"/>
  <cols>
    <col min="1" max="1" width="8.58203125" style="1"/>
    <col min="2" max="2" width="13.08203125" style="1" bestFit="1" customWidth="1"/>
    <col min="3" max="3" width="34.75" style="1" bestFit="1" customWidth="1"/>
    <col min="4" max="4" width="15.25" style="1" bestFit="1" customWidth="1"/>
    <col min="5" max="5" width="26.58203125" style="15" bestFit="1" customWidth="1"/>
    <col min="6" max="6" width="29.58203125" style="26" bestFit="1" customWidth="1"/>
    <col min="7" max="7" width="44.25" style="1" customWidth="1"/>
    <col min="8" max="16384" width="8.58203125" style="1"/>
  </cols>
  <sheetData>
    <row r="3" spans="1:7" s="12" customFormat="1" x14ac:dyDescent="0.3">
      <c r="A3" s="12" t="s">
        <v>62</v>
      </c>
      <c r="B3" s="16" t="s">
        <v>0</v>
      </c>
      <c r="C3" s="16" t="s">
        <v>22</v>
      </c>
      <c r="D3" s="17" t="s">
        <v>23</v>
      </c>
      <c r="E3" s="17" t="s">
        <v>32</v>
      </c>
      <c r="F3" s="23" t="s">
        <v>33</v>
      </c>
      <c r="G3" s="16" t="s">
        <v>1</v>
      </c>
    </row>
    <row r="4" spans="1:7" s="12" customFormat="1" x14ac:dyDescent="0.3">
      <c r="A4" s="31" t="s">
        <v>36</v>
      </c>
      <c r="B4" s="19" t="s">
        <v>5</v>
      </c>
      <c r="C4" s="34"/>
      <c r="D4" s="21"/>
      <c r="E4" s="22">
        <v>65000</v>
      </c>
      <c r="F4" s="24">
        <v>65000</v>
      </c>
      <c r="G4" s="19"/>
    </row>
    <row r="5" spans="1:7" x14ac:dyDescent="0.3">
      <c r="A5" s="31" t="s">
        <v>36</v>
      </c>
      <c r="B5" s="19" t="s">
        <v>8</v>
      </c>
      <c r="C5" s="35" t="s">
        <v>35</v>
      </c>
      <c r="D5" s="22">
        <v>660000</v>
      </c>
      <c r="E5" s="22">
        <v>330000</v>
      </c>
      <c r="F5" s="24">
        <v>330000</v>
      </c>
      <c r="G5" s="20"/>
    </row>
    <row r="6" spans="1:7" x14ac:dyDescent="0.3">
      <c r="A6" s="31" t="s">
        <v>36</v>
      </c>
      <c r="B6" s="2" t="s">
        <v>16</v>
      </c>
      <c r="C6" s="4" t="s">
        <v>24</v>
      </c>
      <c r="D6" s="9">
        <v>450000</v>
      </c>
      <c r="E6" s="9">
        <f>D6/2</f>
        <v>225000</v>
      </c>
      <c r="F6" s="25">
        <v>75000</v>
      </c>
      <c r="G6" s="4" t="s">
        <v>25</v>
      </c>
    </row>
    <row r="7" spans="1:7" x14ac:dyDescent="0.3">
      <c r="A7" s="31" t="s">
        <v>36</v>
      </c>
      <c r="B7" s="2" t="s">
        <v>26</v>
      </c>
      <c r="C7" s="4" t="s">
        <v>27</v>
      </c>
      <c r="D7" s="9">
        <v>500000</v>
      </c>
      <c r="E7" s="9">
        <f>D7/2</f>
        <v>250000</v>
      </c>
      <c r="F7" s="25">
        <v>150000</v>
      </c>
      <c r="G7" s="4" t="s">
        <v>28</v>
      </c>
    </row>
    <row r="8" spans="1:7" x14ac:dyDescent="0.3">
      <c r="A8" s="31" t="s">
        <v>36</v>
      </c>
      <c r="B8" s="2" t="s">
        <v>17</v>
      </c>
      <c r="C8" s="4" t="s">
        <v>29</v>
      </c>
      <c r="D8" s="9">
        <v>300000</v>
      </c>
      <c r="E8" s="9">
        <v>300000</v>
      </c>
      <c r="F8" s="25"/>
      <c r="G8" s="4" t="s">
        <v>30</v>
      </c>
    </row>
    <row r="9" spans="1:7" x14ac:dyDescent="0.3">
      <c r="A9" s="31" t="s">
        <v>42</v>
      </c>
      <c r="B9" s="2" t="s">
        <v>5</v>
      </c>
      <c r="C9" s="1" t="s">
        <v>31</v>
      </c>
      <c r="D9" s="13"/>
      <c r="E9" s="15">
        <v>200000</v>
      </c>
      <c r="G9" s="14"/>
    </row>
    <row r="10" spans="1:7" s="43" customFormat="1" x14ac:dyDescent="0.3">
      <c r="A10" s="31" t="s">
        <v>42</v>
      </c>
      <c r="B10" s="38" t="s">
        <v>37</v>
      </c>
      <c r="C10" s="39" t="s">
        <v>38</v>
      </c>
      <c r="D10" s="40"/>
      <c r="E10" s="40"/>
      <c r="F10" s="41"/>
      <c r="G10" s="42"/>
    </row>
    <row r="11" spans="1:7" x14ac:dyDescent="0.3">
      <c r="A11" s="31" t="s">
        <v>42</v>
      </c>
      <c r="B11" s="2" t="s">
        <v>18</v>
      </c>
      <c r="C11" s="18" t="s">
        <v>46</v>
      </c>
      <c r="D11" s="27"/>
      <c r="E11" s="27"/>
      <c r="F11" s="25"/>
      <c r="G11" s="28"/>
    </row>
    <row r="12" spans="1:7" x14ac:dyDescent="0.3">
      <c r="A12" s="31" t="s">
        <v>42</v>
      </c>
      <c r="B12" s="2" t="s">
        <v>16</v>
      </c>
      <c r="C12" s="32"/>
      <c r="D12" s="27"/>
      <c r="E12" s="9">
        <v>200000</v>
      </c>
      <c r="F12" s="25"/>
      <c r="G12" s="28"/>
    </row>
    <row r="13" spans="1:7" x14ac:dyDescent="0.3">
      <c r="D13" s="15"/>
      <c r="F1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17F3-952C-42B9-A5AC-0CA959C282C1}">
  <dimension ref="A1:E8"/>
  <sheetViews>
    <sheetView rightToLeft="1" tabSelected="1" workbookViewId="0"/>
  </sheetViews>
  <sheetFormatPr defaultColWidth="8.58203125" defaultRowHeight="14" x14ac:dyDescent="0.3"/>
  <cols>
    <col min="1" max="1" width="8.58203125" style="1"/>
    <col min="2" max="2" width="8.83203125" style="1" bestFit="1" customWidth="1"/>
    <col min="3" max="3" width="13.58203125" style="1" bestFit="1" customWidth="1"/>
    <col min="4" max="4" width="15.25" style="1" bestFit="1" customWidth="1"/>
    <col min="5" max="5" width="42.9140625" style="1" bestFit="1" customWidth="1"/>
    <col min="6" max="6" width="29.58203125" style="1" bestFit="1" customWidth="1"/>
    <col min="7" max="16384" width="8.58203125" style="1"/>
  </cols>
  <sheetData>
    <row r="1" spans="1:5" s="12" customFormat="1" x14ac:dyDescent="0.3"/>
    <row r="3" spans="1:5" x14ac:dyDescent="0.3">
      <c r="A3" s="1" t="s">
        <v>62</v>
      </c>
      <c r="B3" s="16" t="s">
        <v>0</v>
      </c>
      <c r="C3" s="17" t="s">
        <v>41</v>
      </c>
      <c r="D3" s="16" t="s">
        <v>40</v>
      </c>
      <c r="E3" s="23" t="s">
        <v>63</v>
      </c>
    </row>
    <row r="4" spans="1:5" x14ac:dyDescent="0.3">
      <c r="A4" s="29" t="s">
        <v>36</v>
      </c>
      <c r="B4" s="2" t="s">
        <v>39</v>
      </c>
      <c r="C4" s="4" t="s">
        <v>48</v>
      </c>
      <c r="D4" s="3">
        <v>413000</v>
      </c>
      <c r="E4" s="28"/>
    </row>
    <row r="5" spans="1:5" x14ac:dyDescent="0.3">
      <c r="A5" s="29" t="s">
        <v>36</v>
      </c>
      <c r="B5" s="2" t="s">
        <v>43</v>
      </c>
      <c r="C5" s="4" t="s">
        <v>48</v>
      </c>
      <c r="D5" s="3">
        <v>533153</v>
      </c>
      <c r="E5" s="28"/>
    </row>
    <row r="6" spans="1:5" x14ac:dyDescent="0.3">
      <c r="A6" s="29" t="s">
        <v>36</v>
      </c>
      <c r="B6" s="2" t="s">
        <v>10</v>
      </c>
      <c r="C6" s="4" t="s">
        <v>46</v>
      </c>
      <c r="D6" s="3">
        <v>2463194</v>
      </c>
      <c r="E6" s="4" t="s">
        <v>47</v>
      </c>
    </row>
    <row r="7" spans="1:5" x14ac:dyDescent="0.3">
      <c r="A7" s="29" t="s">
        <v>42</v>
      </c>
      <c r="B7" s="44" t="s">
        <v>54</v>
      </c>
      <c r="C7" s="4" t="s">
        <v>55</v>
      </c>
      <c r="D7" s="3">
        <v>3500000</v>
      </c>
      <c r="E7" s="4" t="s">
        <v>56</v>
      </c>
    </row>
    <row r="8" spans="1:5" x14ac:dyDescent="0.3">
      <c r="A8" s="29" t="s">
        <v>42</v>
      </c>
      <c r="B8" s="4" t="s">
        <v>37</v>
      </c>
      <c r="C8" s="4" t="s">
        <v>58</v>
      </c>
      <c r="D8" s="3">
        <v>1500000</v>
      </c>
      <c r="E8" s="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השתתפות מרכז בשוטף</vt:lpstr>
      <vt:lpstr>בינוי </vt:lpstr>
      <vt:lpstr>הלוואת בעלות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חניא</dc:creator>
  <cp:lastModifiedBy>rr rr</cp:lastModifiedBy>
  <cp:lastPrinted>2024-07-01T09:59:04Z</cp:lastPrinted>
  <dcterms:created xsi:type="dcterms:W3CDTF">2024-05-29T11:18:04Z</dcterms:created>
  <dcterms:modified xsi:type="dcterms:W3CDTF">2025-05-10T21:43:52Z</dcterms:modified>
</cp:coreProperties>
</file>